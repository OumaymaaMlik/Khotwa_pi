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mira\Downloads\"/>
    </mc:Choice>
  </mc:AlternateContent>
  <xr:revisionPtr revIDLastSave="0" documentId="13_ncr:1_{130066D3-DA4D-496A-9D3B-2A668265F5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udget_Mode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3" i="1" l="1"/>
  <c r="B24" i="1"/>
  <c r="B25" i="1" s="1"/>
  <c r="B36" i="1" s="1"/>
  <c r="D14" i="1"/>
  <c r="E14" i="1" s="1"/>
  <c r="D13" i="1"/>
  <c r="E13" i="1" s="1"/>
  <c r="C39" i="1"/>
  <c r="C36" i="1"/>
  <c r="B29" i="1"/>
  <c r="B37" i="1" s="1"/>
  <c r="B20" i="1"/>
  <c r="D15" i="1"/>
  <c r="E15" i="1" s="1"/>
  <c r="D12" i="1"/>
  <c r="E12" i="1" s="1"/>
  <c r="D11" i="1"/>
  <c r="E11" i="1" s="1"/>
  <c r="E16" i="1" l="1"/>
  <c r="B35" i="1" s="1"/>
  <c r="B38" i="1" s="1"/>
  <c r="B39" i="1" s="1"/>
  <c r="B4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BudgetBot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Basé sur les postes de coûts du BMC (RH, cloud, IA, licences, marketing, matériel).</t>
        </r>
      </text>
    </comment>
    <comment ref="B7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Hypothèse à ajuster (TND/jour ou valorisation).</t>
        </r>
      </text>
    </comment>
  </commentList>
</comments>
</file>

<file path=xl/sharedStrings.xml><?xml version="1.0" encoding="utf-8"?>
<sst xmlns="http://schemas.openxmlformats.org/spreadsheetml/2006/main" count="51" uniqueCount="51">
  <si>
    <t>1) Paramètres du scénario</t>
  </si>
  <si>
    <t>Devise (texte)</t>
  </si>
  <si>
    <t>TND</t>
  </si>
  <si>
    <t>Période d'exploitation (mois)</t>
  </si>
  <si>
    <t>Taille équipe interne (personnes)</t>
  </si>
  <si>
    <t>Coût moyen par personne / jour</t>
  </si>
  <si>
    <t>Marge imprévus (%)</t>
  </si>
  <si>
    <t>2) Coûts RH – équipe interne (par phase)</t>
  </si>
  <si>
    <t>Phase</t>
  </si>
  <si>
    <t>Durée (jours)</t>
  </si>
  <si>
    <t>% mobilisation moyenne</t>
  </si>
  <si>
    <t>Jours-personnes</t>
  </si>
  <si>
    <t>Coût RH phase</t>
  </si>
  <si>
    <t>Phase 1 – Design</t>
  </si>
  <si>
    <t>Phase 2 – Infrastructure</t>
  </si>
  <si>
    <t>Phase 3 – Env. déploiement</t>
  </si>
  <si>
    <t>Phase 4 – Développement</t>
  </si>
  <si>
    <t>Phase 5 – Déploiement</t>
  </si>
  <si>
    <t>Total RH interne</t>
  </si>
  <si>
    <t>3) Coûts RH – experts / coachs externes</t>
  </si>
  <si>
    <t>Nombre d'interventions (validations / mentoring)</t>
  </si>
  <si>
    <t>Coût par intervention</t>
  </si>
  <si>
    <t>Total experts externes</t>
  </si>
  <si>
    <t>4) Infrastructure &amp; IA (coûts mensuels)</t>
  </si>
  <si>
    <t>Hébergement Cloud / mois</t>
  </si>
  <si>
    <t>Consommation IA / mois</t>
  </si>
  <si>
    <t>Total mensuel (Infra + IA)</t>
  </si>
  <si>
    <t>Total exploitation (sur B5 mois)</t>
  </si>
  <si>
    <t>Contenus (vidéos, démos, témoignages) – one-off</t>
  </si>
  <si>
    <t>Ateliers / événements – budget total</t>
  </si>
  <si>
    <t>Marketing (one-off total)</t>
  </si>
  <si>
    <t>PC portables – quantité</t>
  </si>
  <si>
    <t>PC portables – coût unitaire</t>
  </si>
  <si>
    <t>Total matériel</t>
  </si>
  <si>
    <t>Développement (build)</t>
  </si>
  <si>
    <t>One-off</t>
  </si>
  <si>
    <t>RH + experts + matériel + juridique</t>
  </si>
  <si>
    <t>Exploitation (run)</t>
  </si>
  <si>
    <t>Infra/IA + licences</t>
  </si>
  <si>
    <t>Go-to-market</t>
  </si>
  <si>
    <t>Mix</t>
  </si>
  <si>
    <t>Contenus + événements + pub</t>
  </si>
  <si>
    <t>Sous-total</t>
  </si>
  <si>
    <t>Imprévus</t>
  </si>
  <si>
    <t>Marge de sécurité</t>
  </si>
  <si>
    <t>BUDGET TOTAL</t>
  </si>
  <si>
    <t>Budget total estimé</t>
  </si>
  <si>
    <t>5) Marketing &amp; communication</t>
  </si>
  <si>
    <t xml:space="preserve">Modèle de budget – Plateforme </t>
  </si>
  <si>
    <t xml:space="preserve">8) Résumé </t>
  </si>
  <si>
    <t xml:space="preserve">6) Matériel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</si>
</sst>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_);\(#,##0\);&quot;-&quot;_);@"/>
    <numFmt numFmtId="165" formatCode="#,##0.0"/>
  </numFmts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  <font>
      <sz val="11"/>
      <color rgb="FF0000FF"/>
      <name val="Calibri"/>
    </font>
    <font>
      <b/>
      <sz val="11"/>
      <name val="Calibri"/>
    </font>
    <font>
      <b/>
      <sz val="11"/>
      <color rgb="FF1F4E7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1F4E79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164" fontId="3" fillId="0" borderId="0" xfId="0" applyNumberFormat="1" applyFont="1" applyAlignment="1">
      <alignment horizontal="left" vertical="center" wrapText="1"/>
    </xf>
    <xf numFmtId="9" fontId="3" fillId="0" borderId="0" xfId="0" applyNumberFormat="1" applyFont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9" fontId="3" fillId="0" borderId="1" xfId="0" applyNumberFormat="1" applyFont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164" fontId="0" fillId="0" borderId="1" xfId="0" applyNumberFormat="1" applyBorder="1" applyAlignment="1">
      <alignment horizontal="right" vertical="center"/>
    </xf>
    <xf numFmtId="0" fontId="0" fillId="0" borderId="1" xfId="0" applyBorder="1"/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0" borderId="0" xfId="0" applyFont="1"/>
    <xf numFmtId="164" fontId="3" fillId="0" borderId="0" xfId="0" applyNumberFormat="1" applyFont="1"/>
    <xf numFmtId="164" fontId="4" fillId="0" borderId="0" xfId="0" applyNumberFormat="1" applyFont="1"/>
    <xf numFmtId="0" fontId="4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right" vertical="center"/>
    </xf>
    <xf numFmtId="0" fontId="2" fillId="3" borderId="0" xfId="0" applyFont="1" applyFill="1" applyAlignment="1">
      <alignment horizontal="left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"/>
  <sheetViews>
    <sheetView tabSelected="1" zoomScale="62" workbookViewId="0">
      <pane ySplit="3" topLeftCell="A4" activePane="bottomLeft" state="frozen"/>
      <selection pane="bottomLeft" activeCell="O20" sqref="O20"/>
    </sheetView>
  </sheetViews>
  <sheetFormatPr baseColWidth="10" defaultColWidth="8.88671875" defaultRowHeight="14.4" x14ac:dyDescent="0.3"/>
  <cols>
    <col min="1" max="1" width="25.33203125" customWidth="1"/>
    <col min="2" max="2" width="18" customWidth="1"/>
    <col min="3" max="3" width="14" customWidth="1"/>
    <col min="4" max="4" width="38" customWidth="1"/>
    <col min="5" max="5" width="18" customWidth="1"/>
    <col min="6" max="8" width="2" customWidth="1"/>
  </cols>
  <sheetData>
    <row r="1" spans="1:8" ht="28.05" customHeight="1" x14ac:dyDescent="0.3">
      <c r="A1" s="21" t="s">
        <v>48</v>
      </c>
      <c r="B1" s="20"/>
      <c r="C1" s="20"/>
      <c r="D1" s="20"/>
      <c r="E1" s="20"/>
      <c r="F1" s="20"/>
      <c r="G1" s="20"/>
      <c r="H1" s="20"/>
    </row>
    <row r="3" spans="1:8" ht="19.95" customHeight="1" x14ac:dyDescent="0.3">
      <c r="A3" s="19" t="s">
        <v>0</v>
      </c>
      <c r="B3" s="20"/>
      <c r="C3" s="20"/>
      <c r="D3" s="20"/>
      <c r="E3" s="20"/>
      <c r="F3" s="20"/>
      <c r="G3" s="20"/>
      <c r="H3" s="20"/>
    </row>
    <row r="4" spans="1:8" x14ac:dyDescent="0.3">
      <c r="A4" s="1" t="s">
        <v>1</v>
      </c>
      <c r="B4" s="2" t="s">
        <v>2</v>
      </c>
    </row>
    <row r="5" spans="1:8" x14ac:dyDescent="0.3">
      <c r="A5" s="1" t="s">
        <v>3</v>
      </c>
      <c r="B5" s="2">
        <v>12</v>
      </c>
    </row>
    <row r="6" spans="1:8" x14ac:dyDescent="0.3">
      <c r="A6" s="1" t="s">
        <v>4</v>
      </c>
      <c r="B6" s="2">
        <v>7</v>
      </c>
    </row>
    <row r="7" spans="1:8" x14ac:dyDescent="0.3">
      <c r="A7" s="1" t="s">
        <v>5</v>
      </c>
      <c r="B7" s="3">
        <v>60</v>
      </c>
    </row>
    <row r="8" spans="1:8" x14ac:dyDescent="0.3">
      <c r="A8" s="1" t="s">
        <v>6</v>
      </c>
      <c r="B8" s="4">
        <v>0.1</v>
      </c>
    </row>
    <row r="9" spans="1:8" ht="19.95" customHeight="1" x14ac:dyDescent="0.3">
      <c r="A9" s="19" t="s">
        <v>7</v>
      </c>
      <c r="B9" s="20"/>
      <c r="C9" s="20"/>
      <c r="D9" s="20"/>
      <c r="E9" s="20"/>
      <c r="F9" s="20"/>
      <c r="G9" s="20"/>
      <c r="H9" s="20"/>
    </row>
    <row r="10" spans="1:8" ht="28.8" x14ac:dyDescent="0.3">
      <c r="A10" s="5" t="s">
        <v>8</v>
      </c>
      <c r="B10" s="5" t="s">
        <v>9</v>
      </c>
      <c r="C10" s="5" t="s">
        <v>10</v>
      </c>
      <c r="D10" s="5" t="s">
        <v>11</v>
      </c>
      <c r="E10" s="5" t="s">
        <v>12</v>
      </c>
    </row>
    <row r="11" spans="1:8" x14ac:dyDescent="0.3">
      <c r="A11" s="6" t="s">
        <v>13</v>
      </c>
      <c r="B11" s="7">
        <v>21</v>
      </c>
      <c r="C11" s="8">
        <v>0.5</v>
      </c>
      <c r="D11" s="9">
        <f>B11*$B$6*C11</f>
        <v>73.5</v>
      </c>
      <c r="E11" s="10">
        <f>D11*$B$7</f>
        <v>4410</v>
      </c>
    </row>
    <row r="12" spans="1:8" x14ac:dyDescent="0.3">
      <c r="A12" s="6" t="s">
        <v>14</v>
      </c>
      <c r="B12" s="7">
        <v>28</v>
      </c>
      <c r="C12" s="8">
        <v>0.5</v>
      </c>
      <c r="D12" s="9">
        <f>B12*$B$6*C12</f>
        <v>98</v>
      </c>
      <c r="E12" s="10">
        <f>D12*$B$7</f>
        <v>5880</v>
      </c>
    </row>
    <row r="13" spans="1:8" x14ac:dyDescent="0.3">
      <c r="A13" s="6" t="s">
        <v>15</v>
      </c>
      <c r="B13" s="7">
        <v>28</v>
      </c>
      <c r="C13" s="8">
        <v>0.5</v>
      </c>
      <c r="D13" s="9">
        <f>B13*$B$6*C13</f>
        <v>98</v>
      </c>
      <c r="E13" s="10">
        <f>D13*$B$7</f>
        <v>5880</v>
      </c>
    </row>
    <row r="14" spans="1:8" x14ac:dyDescent="0.3">
      <c r="A14" s="6" t="s">
        <v>16</v>
      </c>
      <c r="B14" s="7">
        <v>49</v>
      </c>
      <c r="C14" s="8">
        <v>1</v>
      </c>
      <c r="D14" s="9">
        <f>B14*$B$6*C14</f>
        <v>343</v>
      </c>
      <c r="E14" s="10">
        <f>D14*$B$7</f>
        <v>20580</v>
      </c>
    </row>
    <row r="15" spans="1:8" x14ac:dyDescent="0.3">
      <c r="A15" s="6" t="s">
        <v>17</v>
      </c>
      <c r="B15" s="7">
        <v>14</v>
      </c>
      <c r="C15" s="8">
        <v>0.6</v>
      </c>
      <c r="D15" s="9">
        <f>B15*$B$6*C15</f>
        <v>58.8</v>
      </c>
      <c r="E15" s="10">
        <f>D15*$B$7</f>
        <v>3528</v>
      </c>
    </row>
    <row r="16" spans="1:8" x14ac:dyDescent="0.3">
      <c r="A16" s="11"/>
      <c r="B16" s="11"/>
      <c r="C16" s="11"/>
      <c r="D16" s="12" t="s">
        <v>18</v>
      </c>
      <c r="E16" s="13">
        <f>SUM(E11:E15)</f>
        <v>40278</v>
      </c>
    </row>
    <row r="17" spans="1:8" ht="19.95" customHeight="1" x14ac:dyDescent="0.3">
      <c r="A17" s="19" t="s">
        <v>19</v>
      </c>
      <c r="B17" s="20"/>
      <c r="C17" s="20"/>
      <c r="D17" s="20"/>
      <c r="E17" s="20"/>
      <c r="F17" s="20"/>
      <c r="G17" s="20"/>
      <c r="H17" s="20"/>
    </row>
    <row r="18" spans="1:8" x14ac:dyDescent="0.3">
      <c r="A18" t="s">
        <v>20</v>
      </c>
      <c r="B18" s="14">
        <v>3</v>
      </c>
    </row>
    <row r="19" spans="1:8" x14ac:dyDescent="0.3">
      <c r="A19" t="s">
        <v>21</v>
      </c>
      <c r="B19" s="15">
        <v>150</v>
      </c>
    </row>
    <row r="20" spans="1:8" x14ac:dyDescent="0.3">
      <c r="A20" t="s">
        <v>22</v>
      </c>
      <c r="B20" s="16">
        <f>B18*B19</f>
        <v>450</v>
      </c>
    </row>
    <row r="21" spans="1:8" ht="19.95" customHeight="1" x14ac:dyDescent="0.3">
      <c r="A21" s="19" t="s">
        <v>23</v>
      </c>
      <c r="B21" s="20"/>
      <c r="C21" s="20"/>
      <c r="D21" s="20"/>
      <c r="E21" s="20"/>
      <c r="F21" s="20"/>
      <c r="G21" s="20"/>
      <c r="H21" s="20"/>
    </row>
    <row r="22" spans="1:8" x14ac:dyDescent="0.3">
      <c r="A22" t="s">
        <v>24</v>
      </c>
      <c r="B22" s="15">
        <v>40</v>
      </c>
    </row>
    <row r="23" spans="1:8" x14ac:dyDescent="0.3">
      <c r="A23" t="s">
        <v>25</v>
      </c>
      <c r="B23" s="15">
        <v>120</v>
      </c>
    </row>
    <row r="24" spans="1:8" x14ac:dyDescent="0.3">
      <c r="A24" t="s">
        <v>26</v>
      </c>
      <c r="B24" s="16">
        <f>SUM(B22:B23)</f>
        <v>160</v>
      </c>
    </row>
    <row r="25" spans="1:8" x14ac:dyDescent="0.3">
      <c r="A25" t="s">
        <v>27</v>
      </c>
      <c r="B25" s="16">
        <f>B24*$B$5</f>
        <v>1920</v>
      </c>
    </row>
    <row r="26" spans="1:8" ht="19.95" customHeight="1" x14ac:dyDescent="0.3">
      <c r="A26" s="19" t="s">
        <v>47</v>
      </c>
      <c r="B26" s="20"/>
      <c r="C26" s="20"/>
      <c r="D26" s="20"/>
      <c r="E26" s="20"/>
      <c r="F26" s="20"/>
      <c r="G26" s="20"/>
      <c r="H26" s="20"/>
    </row>
    <row r="27" spans="1:8" x14ac:dyDescent="0.3">
      <c r="A27" t="s">
        <v>28</v>
      </c>
      <c r="B27" s="15">
        <v>1000</v>
      </c>
    </row>
    <row r="28" spans="1:8" x14ac:dyDescent="0.3">
      <c r="A28" t="s">
        <v>29</v>
      </c>
      <c r="B28" s="15">
        <v>300</v>
      </c>
    </row>
    <row r="29" spans="1:8" x14ac:dyDescent="0.3">
      <c r="A29" t="s">
        <v>30</v>
      </c>
      <c r="B29" s="16">
        <f>B27+B28</f>
        <v>1300</v>
      </c>
    </row>
    <row r="30" spans="1:8" ht="19.95" customHeight="1" x14ac:dyDescent="0.3">
      <c r="A30" s="19" t="s">
        <v>50</v>
      </c>
      <c r="B30" s="20"/>
      <c r="C30" s="20"/>
      <c r="D30" s="20"/>
      <c r="E30" s="20"/>
      <c r="F30" s="20"/>
      <c r="G30" s="20"/>
      <c r="H30" s="20"/>
    </row>
    <row r="31" spans="1:8" x14ac:dyDescent="0.3">
      <c r="A31" t="s">
        <v>31</v>
      </c>
      <c r="B31" s="14">
        <v>7</v>
      </c>
    </row>
    <row r="32" spans="1:8" x14ac:dyDescent="0.3">
      <c r="A32" t="s">
        <v>32</v>
      </c>
      <c r="B32" s="15">
        <v>2000</v>
      </c>
    </row>
    <row r="33" spans="1:8" x14ac:dyDescent="0.3">
      <c r="A33" t="s">
        <v>33</v>
      </c>
      <c r="B33" s="16">
        <f>B31*B32</f>
        <v>14000</v>
      </c>
    </row>
    <row r="34" spans="1:8" ht="19.95" customHeight="1" x14ac:dyDescent="0.3">
      <c r="A34" s="19" t="s">
        <v>49</v>
      </c>
      <c r="B34" s="20"/>
      <c r="C34" s="20"/>
      <c r="D34" s="20"/>
      <c r="E34" s="20"/>
      <c r="F34" s="20"/>
      <c r="G34" s="20"/>
      <c r="H34" s="20"/>
    </row>
    <row r="35" spans="1:8" x14ac:dyDescent="0.3">
      <c r="A35" s="6" t="s">
        <v>34</v>
      </c>
      <c r="B35" s="10">
        <f>E16+B20+B33</f>
        <v>54728</v>
      </c>
      <c r="C35" s="6" t="s">
        <v>35</v>
      </c>
      <c r="D35" s="6" t="s">
        <v>36</v>
      </c>
    </row>
    <row r="36" spans="1:8" x14ac:dyDescent="0.3">
      <c r="A36" s="6" t="s">
        <v>37</v>
      </c>
      <c r="B36" s="10">
        <f>B25</f>
        <v>1920</v>
      </c>
      <c r="C36" s="6" t="str">
        <f>B5&amp;" mois"</f>
        <v>12 mois</v>
      </c>
      <c r="D36" s="6" t="s">
        <v>38</v>
      </c>
    </row>
    <row r="37" spans="1:8" x14ac:dyDescent="0.3">
      <c r="A37" s="6" t="s">
        <v>39</v>
      </c>
      <c r="B37" s="10">
        <f>B29</f>
        <v>1300</v>
      </c>
      <c r="C37" s="6" t="s">
        <v>40</v>
      </c>
      <c r="D37" s="6" t="s">
        <v>41</v>
      </c>
    </row>
    <row r="38" spans="1:8" x14ac:dyDescent="0.3">
      <c r="A38" s="6" t="s">
        <v>42</v>
      </c>
      <c r="B38" s="10">
        <f>SUM(B35:B37)</f>
        <v>57948</v>
      </c>
      <c r="C38" s="6"/>
      <c r="D38" s="6"/>
    </row>
    <row r="39" spans="1:8" x14ac:dyDescent="0.3">
      <c r="A39" s="6" t="s">
        <v>43</v>
      </c>
      <c r="B39" s="10">
        <f>B38*$B$8</f>
        <v>5794.8</v>
      </c>
      <c r="C39" s="6" t="str">
        <f>TEXT($B$8,"0%")</f>
        <v>10%</v>
      </c>
      <c r="D39" s="6" t="s">
        <v>44</v>
      </c>
    </row>
    <row r="40" spans="1:8" x14ac:dyDescent="0.3">
      <c r="A40" s="17" t="s">
        <v>45</v>
      </c>
      <c r="B40" s="18">
        <f>B38+B39</f>
        <v>63742.8</v>
      </c>
      <c r="C40" s="17"/>
      <c r="D40" s="17" t="s">
        <v>46</v>
      </c>
    </row>
  </sheetData>
  <mergeCells count="8">
    <mergeCell ref="A1:H1"/>
    <mergeCell ref="A26:H26"/>
    <mergeCell ref="A34:H34"/>
    <mergeCell ref="A3:H3"/>
    <mergeCell ref="A21:H21"/>
    <mergeCell ref="A9:H9"/>
    <mergeCell ref="A17:H17"/>
    <mergeCell ref="A30:H30"/>
  </mergeCells>
  <pageMargins left="0.75" right="0.75" top="1" bottom="1" header="0.5" footer="0.5"/>
  <ignoredErrors>
    <ignoredError sqref="C33:XFD33 A33" evalError="1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Budget_Model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Amira Chamsi</cp:lastModifiedBy>
  <dcterms:created xsi:type="dcterms:W3CDTF">2026-04-15T13:09:02Z</dcterms:created>
  <dcterms:modified xsi:type="dcterms:W3CDTF">2026-04-15T13:56:09Z</dcterms:modified>
</cp:coreProperties>
</file>